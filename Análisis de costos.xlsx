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felip\Desktop\Curso Capstone\"/>
    </mc:Choice>
  </mc:AlternateContent>
  <xr:revisionPtr revIDLastSave="0" documentId="13_ncr:1_{1A869998-6206-41A2-8005-082FB611E64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talle Tareas" sheetId="1" r:id="rId1"/>
    <sheet name="Flujo Caja" sheetId="2" r:id="rId2"/>
    <sheet name="Salarios del equipo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  <c r="E11" i="2" l="1"/>
  <c r="F8" i="2"/>
  <c r="E8" i="2"/>
  <c r="E9" i="2"/>
  <c r="F9" i="2" s="1"/>
  <c r="E10" i="2"/>
  <c r="F10" i="2" s="1"/>
  <c r="E7" i="2"/>
  <c r="F7" i="2" s="1"/>
  <c r="F13" i="2" l="1"/>
</calcChain>
</file>

<file path=xl/sharedStrings.xml><?xml version="1.0" encoding="utf-8"?>
<sst xmlns="http://schemas.openxmlformats.org/spreadsheetml/2006/main" count="106" uniqueCount="82">
  <si>
    <t>Tarea</t>
  </si>
  <si>
    <t>Horas estimadas</t>
  </si>
  <si>
    <t>Tarifa humana (USD/h)</t>
  </si>
  <si>
    <t>Recurso cloud</t>
  </si>
  <si>
    <t>Cantidad</t>
  </si>
  <si>
    <t>Tarifa cloud (USD/h)</t>
  </si>
  <si>
    <t>Tarifa cloud (USD/GB-mes)</t>
  </si>
  <si>
    <t>Coste humano (USD)</t>
  </si>
  <si>
    <t>Coste cloud (USD)</t>
  </si>
  <si>
    <t>Coste total (USD)</t>
  </si>
  <si>
    <t>Mes</t>
  </si>
  <si>
    <t>Fase</t>
  </si>
  <si>
    <t>Factor descuento</t>
  </si>
  <si>
    <t>Valor US$</t>
  </si>
  <si>
    <t>Valor UF</t>
  </si>
  <si>
    <t>Tasa mensual</t>
  </si>
  <si>
    <t>(en base a tasa anual del 15% para proyectos TI)</t>
  </si>
  <si>
    <t>Costo bruto (USD)</t>
  </si>
  <si>
    <t>Costo presente (USD)</t>
  </si>
  <si>
    <t>TOTAL</t>
  </si>
  <si>
    <t>Proyecto SeñAI</t>
  </si>
  <si>
    <t>Investigación y planificación</t>
  </si>
  <si>
    <t>Desarrollo del sistema de captura de audio</t>
  </si>
  <si>
    <t>Procesamiento de texto y traduccion a lengua de señas</t>
  </si>
  <si>
    <t>Integración del sistema y pruebas finales</t>
  </si>
  <si>
    <t>Documentación y entrega</t>
  </si>
  <si>
    <t>Rol</t>
  </si>
  <si>
    <t>Fuente</t>
  </si>
  <si>
    <t>Arquitecto de software</t>
  </si>
  <si>
    <t>1.631.780 - 3.577.981</t>
  </si>
  <si>
    <t>Administrador de base de datos</t>
  </si>
  <si>
    <t>1.332.400 - 2.214.443</t>
  </si>
  <si>
    <t>Desarrollador de software</t>
  </si>
  <si>
    <t>7.385 - 9.846</t>
  </si>
  <si>
    <t>1.349.084 - 1.375.816</t>
  </si>
  <si>
    <t>Tester</t>
  </si>
  <si>
    <t>6.927 - 7.385</t>
  </si>
  <si>
    <t>917.620 - 1.300.897</t>
  </si>
  <si>
    <t>Analista de negocio</t>
  </si>
  <si>
    <t>1.100.000 - 1.537.560</t>
  </si>
  <si>
    <t>Líder de proyecto</t>
  </si>
  <si>
    <t>5.538 - 5.692</t>
  </si>
  <si>
    <t>1.234.883 - 2.025.957</t>
  </si>
  <si>
    <t>Documentador técnico</t>
  </si>
  <si>
    <t>3.692 - 5.538</t>
  </si>
  <si>
    <t>1.375.000 - 1.550.213</t>
  </si>
  <si>
    <t>Ingeniero en inteligencia artificial</t>
  </si>
  <si>
    <t>1.800.000 - 4.500.000</t>
  </si>
  <si>
    <t>Tabla de salarios del equipo</t>
  </si>
  <si>
    <t>9.238 - 23.095</t>
  </si>
  <si>
    <t>MegaNoticias / EnCancha</t>
  </si>
  <si>
    <t>Talent.com / Computrabajo / Indeed</t>
  </si>
  <si>
    <t>Talent.com / Chiletrabajos / Indeed</t>
  </si>
  <si>
    <t>Talent.com / Indeed</t>
  </si>
  <si>
    <t>Talent.com / Computrabajo</t>
  </si>
  <si>
    <t>Talent.com / Indeed / Computrabajo</t>
  </si>
  <si>
    <t>Talent.com / Glassdoor (Document Controller)</t>
  </si>
  <si>
    <t>Salario por hora (Rango CLP)</t>
  </si>
  <si>
    <t>Salario mensual (Rango CLP)</t>
  </si>
  <si>
    <t>Salario promedio por hora (CLP)</t>
  </si>
  <si>
    <t>Salario promedio mensual (CLP)</t>
  </si>
  <si>
    <t>Compute Engine (n1- standard-2)</t>
  </si>
  <si>
    <t>200 horas</t>
  </si>
  <si>
    <t>(-)</t>
  </si>
  <si>
    <t>Cloud Storage (Standard)</t>
  </si>
  <si>
    <t>5 GB</t>
  </si>
  <si>
    <t>Compute Engine (n1- standard-4)</t>
  </si>
  <si>
    <t>Cloud Storage
(Standard)</t>
  </si>
  <si>
    <t>Speech-to-text API</t>
  </si>
  <si>
    <t>20 GB</t>
  </si>
  <si>
    <t>10 horas de audio</t>
  </si>
  <si>
    <t>0,016/minuto</t>
  </si>
  <si>
    <t>60 horas</t>
  </si>
  <si>
    <t>192 horas</t>
  </si>
  <si>
    <t>30 GB</t>
  </si>
  <si>
    <t>Compute Engine (n1- standard-8)</t>
  </si>
  <si>
    <t>Speech-toText API</t>
  </si>
  <si>
    <t>80 horas</t>
  </si>
  <si>
    <t>50 GB</t>
  </si>
  <si>
    <t>88 horas</t>
  </si>
  <si>
    <t xml:space="preserve">10 GB </t>
  </si>
  <si>
    <t>Total Construccion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</si>
</sst>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_ * #,##0.0000_ ;_ * \-#,##0.0000_ ;_ * &quot;-&quot;_ ;_ @_ "/>
    <numFmt numFmtId="170" formatCode="_ * #,##0.00_ ;_ * \-#,##0.00_ ;_ * &quot;-&quot;_ ;_ @_ "/>
    <numFmt numFmtId="172" formatCode="0.0000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b/>
      <sz val="12"/>
      <name val="Calibri"/>
      <family val="2"/>
    </font>
    <font>
      <b/>
      <sz val="9.9"/>
      <color rgb="FFFFFFFF"/>
      <name val="Arial"/>
      <family val="2"/>
    </font>
    <font>
      <b/>
      <sz val="9.9"/>
      <color rgb="FF333333"/>
      <name val="Arial"/>
      <family val="2"/>
    </font>
    <font>
      <sz val="9.9"/>
      <color rgb="FF333333"/>
      <name val="Arial"/>
      <family val="2"/>
    </font>
    <font>
      <b/>
      <sz val="9.9"/>
      <color rgb="FF2C5282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C5282"/>
        <bgColor indexed="64"/>
      </patternFill>
    </fill>
    <fill>
      <patternFill patternType="solid">
        <fgColor rgb="FFEBF8FF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DF2F7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E2E8F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67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41" fontId="0" fillId="0" borderId="0" xfId="1" applyFont="1"/>
    <xf numFmtId="41" fontId="0" fillId="0" borderId="0" xfId="0" applyNumberFormat="1"/>
    <xf numFmtId="0" fontId="1" fillId="0" borderId="0" xfId="0" applyFont="1" applyAlignment="1">
      <alignment horizontal="center" vertical="top"/>
    </xf>
    <xf numFmtId="164" fontId="0" fillId="0" borderId="0" xfId="1" applyNumberFormat="1" applyFont="1"/>
    <xf numFmtId="0" fontId="3" fillId="0" borderId="0" xfId="0" applyFont="1"/>
    <xf numFmtId="41" fontId="3" fillId="0" borderId="0" xfId="1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41" fontId="0" fillId="0" borderId="0" xfId="1" applyFont="1" applyBorder="1" applyAlignment="1">
      <alignment horizontal="center" vertical="center" wrapText="1"/>
    </xf>
    <xf numFmtId="0" fontId="7" fillId="5" borderId="8" xfId="0" applyFont="1" applyFill="1" applyBorder="1" applyAlignment="1">
      <alignment horizontal="left" vertical="center" wrapText="1"/>
    </xf>
    <xf numFmtId="0" fontId="8" fillId="5" borderId="8" xfId="0" applyFont="1" applyFill="1" applyBorder="1" applyAlignment="1">
      <alignment horizontal="left" vertical="center" wrapText="1"/>
    </xf>
    <xf numFmtId="3" fontId="9" fillId="5" borderId="8" xfId="0" applyNumberFormat="1" applyFont="1" applyFill="1" applyBorder="1" applyAlignment="1">
      <alignment horizontal="left" vertical="center" wrapText="1"/>
    </xf>
    <xf numFmtId="0" fontId="7" fillId="6" borderId="8" xfId="0" applyFont="1" applyFill="1" applyBorder="1" applyAlignment="1">
      <alignment horizontal="left" vertical="center" wrapText="1"/>
    </xf>
    <xf numFmtId="3" fontId="8" fillId="6" borderId="8" xfId="0" applyNumberFormat="1" applyFont="1" applyFill="1" applyBorder="1" applyAlignment="1">
      <alignment horizontal="left" vertical="center" wrapText="1"/>
    </xf>
    <xf numFmtId="0" fontId="8" fillId="6" borderId="8" xfId="0" applyFont="1" applyFill="1" applyBorder="1" applyAlignment="1">
      <alignment horizontal="left" vertical="center" wrapText="1"/>
    </xf>
    <xf numFmtId="3" fontId="9" fillId="6" borderId="8" xfId="0" applyNumberFormat="1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3" fontId="8" fillId="0" borderId="8" xfId="0" applyNumberFormat="1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3" fontId="9" fillId="0" borderId="8" xfId="0" applyNumberFormat="1" applyFont="1" applyBorder="1" applyAlignment="1">
      <alignment horizontal="left" vertical="center" wrapText="1"/>
    </xf>
    <xf numFmtId="0" fontId="7" fillId="8" borderId="8" xfId="0" applyFont="1" applyFill="1" applyBorder="1" applyAlignment="1">
      <alignment horizontal="left" vertical="center" wrapText="1"/>
    </xf>
    <xf numFmtId="3" fontId="8" fillId="8" borderId="8" xfId="0" applyNumberFormat="1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3" fontId="9" fillId="8" borderId="8" xfId="0" applyNumberFormat="1" applyFont="1" applyFill="1" applyBorder="1" applyAlignment="1">
      <alignment horizontal="left" vertical="center" wrapText="1"/>
    </xf>
    <xf numFmtId="0" fontId="7" fillId="6" borderId="5" xfId="0" applyFont="1" applyFill="1" applyBorder="1" applyAlignment="1">
      <alignment horizontal="left" vertical="center" wrapText="1"/>
    </xf>
    <xf numFmtId="0" fontId="8" fillId="6" borderId="5" xfId="0" applyFont="1" applyFill="1" applyBorder="1" applyAlignment="1">
      <alignment horizontal="left" vertical="center" wrapText="1"/>
    </xf>
    <xf numFmtId="3" fontId="9" fillId="6" borderId="5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170" fontId="0" fillId="0" borderId="1" xfId="1" applyNumberFormat="1" applyFont="1" applyBorder="1" applyAlignment="1">
      <alignment horizontal="center" vertical="center" wrapText="1"/>
    </xf>
    <xf numFmtId="170" fontId="0" fillId="0" borderId="1" xfId="1" applyNumberFormat="1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72" fontId="0" fillId="0" borderId="1" xfId="0" applyNumberFormat="1" applyBorder="1" applyAlignment="1">
      <alignment horizontal="center" vertical="center" wrapText="1"/>
    </xf>
    <xf numFmtId="41" fontId="0" fillId="0" borderId="1" xfId="1" applyFont="1" applyBorder="1" applyAlignment="1">
      <alignment horizontal="center" vertical="center" wrapText="1"/>
    </xf>
    <xf numFmtId="41" fontId="0" fillId="0" borderId="9" xfId="1" applyFont="1" applyBorder="1" applyAlignment="1">
      <alignment horizontal="center" vertical="center" wrapText="1"/>
    </xf>
    <xf numFmtId="41" fontId="0" fillId="0" borderId="12" xfId="1" applyFont="1" applyBorder="1" applyAlignment="1">
      <alignment horizontal="center" vertical="center" wrapText="1"/>
    </xf>
    <xf numFmtId="41" fontId="0" fillId="0" borderId="10" xfId="1" applyFont="1" applyBorder="1" applyAlignment="1">
      <alignment horizontal="center" vertical="center" wrapText="1"/>
    </xf>
    <xf numFmtId="170" fontId="0" fillId="0" borderId="9" xfId="1" applyNumberFormat="1" applyFont="1" applyBorder="1" applyAlignment="1">
      <alignment horizontal="center" vertical="center" wrapText="1"/>
    </xf>
    <xf numFmtId="170" fontId="0" fillId="0" borderId="12" xfId="1" applyNumberFormat="1" applyFont="1" applyBorder="1" applyAlignment="1">
      <alignment horizontal="center" vertical="center" wrapText="1"/>
    </xf>
    <xf numFmtId="170" fontId="0" fillId="0" borderId="10" xfId="1" applyNumberFormat="1" applyFont="1" applyBorder="1" applyAlignment="1">
      <alignment horizontal="center" vertical="center" wrapText="1"/>
    </xf>
    <xf numFmtId="41" fontId="0" fillId="0" borderId="9" xfId="1" applyNumberFormat="1" applyFont="1" applyBorder="1" applyAlignment="1">
      <alignment horizontal="center" vertical="center" wrapText="1"/>
    </xf>
    <xf numFmtId="41" fontId="0" fillId="0" borderId="10" xfId="1" applyNumberFormat="1" applyFont="1" applyBorder="1" applyAlignment="1">
      <alignment horizontal="center" vertical="center" wrapText="1"/>
    </xf>
    <xf numFmtId="41" fontId="0" fillId="0" borderId="12" xfId="1" applyNumberFormat="1" applyFont="1" applyBorder="1" applyAlignment="1">
      <alignment horizontal="center" vertical="center" wrapText="1"/>
    </xf>
    <xf numFmtId="170" fontId="0" fillId="0" borderId="0" xfId="1" applyNumberFormat="1" applyFont="1"/>
  </cellXfs>
  <cellStyles count="2">
    <cellStyle name="Millares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1"/>
  <sheetViews>
    <sheetView topLeftCell="A4" zoomScale="94" workbookViewId="0">
      <selection activeCell="L15" sqref="L15"/>
    </sheetView>
  </sheetViews>
  <sheetFormatPr baseColWidth="10" defaultColWidth="8.88671875" defaultRowHeight="14.4" x14ac:dyDescent="0.3"/>
  <cols>
    <col min="1" max="1" width="26.33203125" bestFit="1" customWidth="1"/>
    <col min="2" max="2" width="12" customWidth="1"/>
    <col min="3" max="3" width="18" customWidth="1"/>
    <col min="4" max="4" width="17.6640625" customWidth="1"/>
    <col min="5" max="5" width="11" customWidth="1"/>
    <col min="6" max="6" width="15.6640625" customWidth="1"/>
    <col min="7" max="7" width="16.77734375" customWidth="1"/>
    <col min="8" max="8" width="16.5546875" customWidth="1"/>
    <col min="9" max="9" width="13.77734375" customWidth="1"/>
    <col min="10" max="10" width="14.5546875" customWidth="1"/>
  </cols>
  <sheetData>
    <row r="2" spans="1:11" ht="17.399999999999999" x14ac:dyDescent="0.3">
      <c r="A2" s="34" t="s">
        <v>20</v>
      </c>
      <c r="B2" s="34"/>
    </row>
    <row r="4" spans="1:11" ht="36.6" customHeight="1" x14ac:dyDescent="0.3">
      <c r="A4" s="13" t="s">
        <v>0</v>
      </c>
      <c r="B4" s="14" t="s">
        <v>1</v>
      </c>
      <c r="C4" s="14" t="s">
        <v>2</v>
      </c>
      <c r="D4" s="43" t="s">
        <v>3</v>
      </c>
      <c r="E4" s="14" t="s">
        <v>4</v>
      </c>
      <c r="F4" s="14" t="s">
        <v>5</v>
      </c>
      <c r="G4" s="14" t="s">
        <v>6</v>
      </c>
      <c r="H4" s="14" t="s">
        <v>7</v>
      </c>
      <c r="I4" s="14" t="s">
        <v>8</v>
      </c>
      <c r="J4" s="14" t="s">
        <v>9</v>
      </c>
    </row>
    <row r="5" spans="1:11" ht="32.4" customHeight="1" x14ac:dyDescent="0.3">
      <c r="A5" s="40" t="s">
        <v>21</v>
      </c>
      <c r="B5" s="49">
        <v>200</v>
      </c>
      <c r="C5" s="49">
        <v>9.67</v>
      </c>
      <c r="D5" s="45" t="s">
        <v>61</v>
      </c>
      <c r="E5" s="42" t="s">
        <v>62</v>
      </c>
      <c r="F5" s="12">
        <v>9.5000000000000001E-2</v>
      </c>
      <c r="G5" s="12" t="s">
        <v>63</v>
      </c>
      <c r="H5" s="63">
        <v>1934</v>
      </c>
      <c r="I5" s="47">
        <v>19</v>
      </c>
      <c r="J5" s="60">
        <v>1953</v>
      </c>
    </row>
    <row r="6" spans="1:11" ht="28.8" customHeight="1" x14ac:dyDescent="0.3">
      <c r="A6" s="41"/>
      <c r="B6" s="50"/>
      <c r="C6" s="50"/>
      <c r="D6" s="44" t="s">
        <v>64</v>
      </c>
      <c r="E6" s="42" t="s">
        <v>65</v>
      </c>
      <c r="F6" s="12" t="s">
        <v>63</v>
      </c>
      <c r="G6" s="12">
        <v>2.3E-2</v>
      </c>
      <c r="H6" s="64"/>
      <c r="I6" s="46">
        <v>0.12</v>
      </c>
      <c r="J6" s="62"/>
    </row>
    <row r="7" spans="1:11" ht="28.2" customHeight="1" x14ac:dyDescent="0.3">
      <c r="A7" s="49" t="s">
        <v>22</v>
      </c>
      <c r="B7" s="49">
        <v>160</v>
      </c>
      <c r="C7" s="40">
        <v>13.78</v>
      </c>
      <c r="D7" s="44" t="s">
        <v>66</v>
      </c>
      <c r="E7" s="12" t="s">
        <v>72</v>
      </c>
      <c r="F7" s="55">
        <v>0.19</v>
      </c>
      <c r="G7" s="12" t="s">
        <v>63</v>
      </c>
      <c r="H7" s="63">
        <v>2205</v>
      </c>
      <c r="I7" s="46">
        <v>11.4</v>
      </c>
      <c r="J7" s="60">
        <v>2205.96</v>
      </c>
    </row>
    <row r="8" spans="1:11" ht="28.2" customHeight="1" x14ac:dyDescent="0.3">
      <c r="A8" s="53"/>
      <c r="B8" s="53"/>
      <c r="C8" s="52"/>
      <c r="D8" s="51" t="s">
        <v>67</v>
      </c>
      <c r="E8" s="12" t="s">
        <v>69</v>
      </c>
      <c r="F8" s="12" t="s">
        <v>63</v>
      </c>
      <c r="G8" s="12">
        <v>2.3E-2</v>
      </c>
      <c r="H8" s="65"/>
      <c r="I8" s="46">
        <v>0.46</v>
      </c>
      <c r="J8" s="61"/>
    </row>
    <row r="9" spans="1:11" ht="28.2" customHeight="1" x14ac:dyDescent="0.3">
      <c r="A9" s="50"/>
      <c r="B9" s="50"/>
      <c r="C9" s="41"/>
      <c r="D9" s="51" t="s">
        <v>68</v>
      </c>
      <c r="E9" s="12" t="s">
        <v>70</v>
      </c>
      <c r="F9" s="12" t="s">
        <v>71</v>
      </c>
      <c r="G9" s="12" t="s">
        <v>63</v>
      </c>
      <c r="H9" s="64"/>
      <c r="I9" s="46">
        <v>9.6</v>
      </c>
      <c r="J9" s="62"/>
    </row>
    <row r="10" spans="1:11" ht="34.799999999999997" customHeight="1" x14ac:dyDescent="0.3">
      <c r="A10" s="49" t="s">
        <v>23</v>
      </c>
      <c r="B10" s="49">
        <v>192</v>
      </c>
      <c r="C10" s="49">
        <v>13.78</v>
      </c>
      <c r="D10" s="45" t="s">
        <v>66</v>
      </c>
      <c r="E10" s="42" t="s">
        <v>73</v>
      </c>
      <c r="F10" s="55">
        <v>0.19</v>
      </c>
      <c r="G10" s="12" t="s">
        <v>63</v>
      </c>
      <c r="H10" s="63">
        <v>2646</v>
      </c>
      <c r="I10" s="46">
        <v>36.479999999999997</v>
      </c>
      <c r="J10" s="60">
        <v>2676.47</v>
      </c>
    </row>
    <row r="11" spans="1:11" ht="34.799999999999997" customHeight="1" x14ac:dyDescent="0.3">
      <c r="A11" s="50"/>
      <c r="B11" s="50"/>
      <c r="C11" s="50"/>
      <c r="D11" s="44" t="s">
        <v>64</v>
      </c>
      <c r="E11" s="42" t="s">
        <v>74</v>
      </c>
      <c r="F11" s="12" t="s">
        <v>63</v>
      </c>
      <c r="G11" s="12">
        <v>2.3E-2</v>
      </c>
      <c r="H11" s="64"/>
      <c r="I11" s="46">
        <v>0.69</v>
      </c>
      <c r="J11" s="62"/>
    </row>
    <row r="12" spans="1:11" ht="33" customHeight="1" x14ac:dyDescent="0.3">
      <c r="A12" s="49" t="s">
        <v>24</v>
      </c>
      <c r="B12" s="49">
        <v>80</v>
      </c>
      <c r="C12" s="49">
        <v>11.46</v>
      </c>
      <c r="D12" s="44" t="s">
        <v>75</v>
      </c>
      <c r="E12" s="42" t="s">
        <v>77</v>
      </c>
      <c r="F12" s="55">
        <v>0.38</v>
      </c>
      <c r="G12" s="12" t="s">
        <v>63</v>
      </c>
      <c r="H12" s="57">
        <v>917</v>
      </c>
      <c r="I12" s="46">
        <v>30.4</v>
      </c>
      <c r="J12" s="60">
        <v>946.83</v>
      </c>
    </row>
    <row r="13" spans="1:11" ht="33" customHeight="1" x14ac:dyDescent="0.3">
      <c r="A13" s="53"/>
      <c r="B13" s="53"/>
      <c r="C13" s="53"/>
      <c r="D13" s="44" t="s">
        <v>64</v>
      </c>
      <c r="E13" s="42" t="s">
        <v>78</v>
      </c>
      <c r="F13" s="12" t="s">
        <v>63</v>
      </c>
      <c r="G13" s="12">
        <v>2.3E-2</v>
      </c>
      <c r="H13" s="58"/>
      <c r="I13" s="46">
        <v>1.1499999999999999</v>
      </c>
      <c r="J13" s="61"/>
    </row>
    <row r="14" spans="1:11" ht="33" customHeight="1" x14ac:dyDescent="0.3">
      <c r="A14" s="50"/>
      <c r="B14" s="50"/>
      <c r="C14" s="50"/>
      <c r="D14" s="44" t="s">
        <v>76</v>
      </c>
      <c r="E14" s="42" t="s">
        <v>70</v>
      </c>
      <c r="F14" s="12" t="s">
        <v>71</v>
      </c>
      <c r="G14" s="12" t="s">
        <v>63</v>
      </c>
      <c r="H14" s="59"/>
      <c r="I14" s="46">
        <v>9.6</v>
      </c>
      <c r="J14" s="62"/>
    </row>
    <row r="15" spans="1:11" ht="27" customHeight="1" x14ac:dyDescent="0.3">
      <c r="A15" s="48" t="s">
        <v>25</v>
      </c>
      <c r="B15" s="48">
        <v>88</v>
      </c>
      <c r="C15" s="48">
        <v>7.75</v>
      </c>
      <c r="D15" s="12" t="s">
        <v>61</v>
      </c>
      <c r="E15" s="12" t="s">
        <v>79</v>
      </c>
      <c r="F15" s="55">
        <v>9.5000000000000001E-2</v>
      </c>
      <c r="G15" s="12" t="s">
        <v>63</v>
      </c>
      <c r="H15" s="56">
        <v>682</v>
      </c>
      <c r="I15" s="46">
        <v>8.36</v>
      </c>
      <c r="J15" s="60">
        <v>686.52</v>
      </c>
      <c r="K15" s="4"/>
    </row>
    <row r="16" spans="1:11" ht="27" customHeight="1" x14ac:dyDescent="0.3">
      <c r="A16" s="48"/>
      <c r="B16" s="48"/>
      <c r="C16" s="48"/>
      <c r="D16" s="12" t="s">
        <v>64</v>
      </c>
      <c r="E16" s="12" t="s">
        <v>80</v>
      </c>
      <c r="F16" s="12" t="s">
        <v>63</v>
      </c>
      <c r="G16" s="12">
        <v>2.3E-2</v>
      </c>
      <c r="H16" s="56"/>
      <c r="I16" s="46">
        <v>0.23</v>
      </c>
      <c r="J16" s="62"/>
      <c r="K16" s="4"/>
    </row>
    <row r="17" spans="1:13" ht="18" customHeight="1" x14ac:dyDescent="0.3">
      <c r="A17" s="12" t="s">
        <v>81</v>
      </c>
      <c r="B17" s="54"/>
      <c r="C17" s="54"/>
      <c r="D17" s="54"/>
      <c r="E17" s="54"/>
      <c r="F17" s="54"/>
      <c r="G17" s="54"/>
      <c r="H17" s="15"/>
      <c r="I17" s="15"/>
      <c r="J17" s="46">
        <v>8468.7800000000007</v>
      </c>
      <c r="K17" s="4"/>
      <c r="M17" s="9"/>
    </row>
    <row r="18" spans="1:13" ht="18" customHeight="1" x14ac:dyDescent="0.3">
      <c r="A18" s="10"/>
      <c r="B18" s="10"/>
      <c r="C18" s="10"/>
      <c r="D18" s="10"/>
      <c r="E18" s="10"/>
      <c r="F18" s="10"/>
      <c r="G18" s="10"/>
      <c r="H18" s="15"/>
      <c r="I18" s="15"/>
      <c r="J18" s="15"/>
      <c r="K18" s="4"/>
    </row>
    <row r="19" spans="1:13" ht="18" customHeight="1" x14ac:dyDescent="0.3">
      <c r="A19" s="10"/>
      <c r="B19" s="10"/>
      <c r="C19" s="10"/>
      <c r="D19" s="10"/>
      <c r="E19" s="10"/>
      <c r="F19" s="10"/>
      <c r="G19" s="10"/>
      <c r="H19" s="15"/>
      <c r="I19" s="15"/>
      <c r="J19" s="15"/>
      <c r="K19" s="4"/>
    </row>
    <row r="20" spans="1:13" ht="16.2" customHeight="1" x14ac:dyDescent="0.3">
      <c r="A20" s="10"/>
      <c r="B20" s="10"/>
      <c r="C20" s="10"/>
      <c r="D20" s="10"/>
      <c r="E20" s="10"/>
      <c r="F20" s="10"/>
      <c r="G20" s="10"/>
      <c r="H20" s="15"/>
      <c r="I20" s="15"/>
      <c r="J20" s="15"/>
      <c r="K20" s="4"/>
    </row>
    <row r="21" spans="1:13" ht="16.8" customHeight="1" x14ac:dyDescent="0.3">
      <c r="A21" s="10"/>
      <c r="B21" s="10"/>
      <c r="C21" s="10"/>
      <c r="D21" s="10"/>
      <c r="E21" s="10"/>
      <c r="F21" s="10"/>
      <c r="G21" s="10"/>
      <c r="H21" s="15"/>
      <c r="I21" s="15"/>
      <c r="J21" s="15"/>
      <c r="K21" s="4"/>
    </row>
    <row r="22" spans="1:13" ht="15.6" customHeight="1" x14ac:dyDescent="0.3">
      <c r="A22" s="10"/>
      <c r="B22" s="10"/>
      <c r="C22" s="10"/>
      <c r="D22" s="10"/>
      <c r="E22" s="10"/>
      <c r="F22" s="10"/>
      <c r="G22" s="10"/>
      <c r="H22" s="15"/>
      <c r="I22" s="15"/>
      <c r="J22" s="15"/>
      <c r="K22" s="4"/>
    </row>
    <row r="23" spans="1:13" ht="17.399999999999999" customHeight="1" x14ac:dyDescent="0.3">
      <c r="A23" s="10"/>
      <c r="B23" s="10"/>
      <c r="C23" s="10"/>
      <c r="D23" s="10"/>
      <c r="E23" s="10"/>
      <c r="F23" s="10"/>
      <c r="G23" s="10"/>
      <c r="H23" s="15"/>
      <c r="I23" s="15"/>
      <c r="J23" s="15"/>
      <c r="K23" s="4"/>
    </row>
    <row r="24" spans="1:13" ht="16.8" customHeight="1" x14ac:dyDescent="0.3">
      <c r="A24" s="10"/>
      <c r="B24" s="10"/>
      <c r="C24" s="10"/>
      <c r="D24" s="10"/>
      <c r="E24" s="10"/>
      <c r="F24" s="10"/>
      <c r="G24" s="10"/>
      <c r="H24" s="15"/>
      <c r="I24" s="15"/>
      <c r="J24" s="15"/>
      <c r="K24" s="4"/>
    </row>
    <row r="25" spans="1:13" ht="18.600000000000001" customHeight="1" x14ac:dyDescent="0.3">
      <c r="A25" s="10"/>
      <c r="B25" s="10"/>
      <c r="C25" s="10"/>
      <c r="D25" s="10"/>
      <c r="E25" s="10"/>
      <c r="F25" s="10"/>
      <c r="G25" s="10"/>
      <c r="H25" s="15"/>
      <c r="I25" s="15"/>
      <c r="J25" s="15"/>
      <c r="K25" s="4"/>
    </row>
    <row r="26" spans="1:13" ht="18.600000000000001" customHeight="1" x14ac:dyDescent="0.3">
      <c r="A26" s="10"/>
      <c r="B26" s="10"/>
      <c r="C26" s="10"/>
      <c r="D26" s="10"/>
      <c r="E26" s="10"/>
      <c r="F26" s="10"/>
      <c r="G26" s="10"/>
      <c r="H26" s="15"/>
      <c r="I26" s="15"/>
      <c r="J26" s="15"/>
      <c r="K26" s="4"/>
    </row>
    <row r="27" spans="1:13" ht="17.399999999999999" customHeight="1" x14ac:dyDescent="0.3">
      <c r="A27" s="10"/>
      <c r="B27" s="10"/>
      <c r="C27" s="10"/>
      <c r="D27" s="10"/>
      <c r="E27" s="10"/>
      <c r="F27" s="10"/>
      <c r="G27" s="10"/>
      <c r="H27" s="15"/>
      <c r="I27" s="15"/>
      <c r="J27" s="15"/>
      <c r="K27" s="4"/>
    </row>
    <row r="28" spans="1:13" ht="22.8" customHeight="1" x14ac:dyDescent="0.3">
      <c r="A28" s="10"/>
      <c r="H28" s="3"/>
      <c r="I28" s="3"/>
      <c r="J28" s="3"/>
      <c r="K28" s="4"/>
    </row>
    <row r="29" spans="1:13" ht="22.8" customHeight="1" x14ac:dyDescent="0.3">
      <c r="A29" s="10"/>
      <c r="H29" s="3"/>
      <c r="I29" s="3"/>
      <c r="J29" s="3"/>
      <c r="K29" s="4"/>
    </row>
    <row r="30" spans="1:13" ht="22.8" customHeight="1" x14ac:dyDescent="0.3">
      <c r="A30" s="10"/>
      <c r="H30" s="3"/>
      <c r="I30" s="3"/>
      <c r="J30" s="3"/>
      <c r="K30" s="4"/>
    </row>
    <row r="31" spans="1:13" ht="22.8" customHeight="1" x14ac:dyDescent="0.3">
      <c r="A31" s="10"/>
      <c r="H31" s="3"/>
      <c r="I31" s="3"/>
      <c r="J31" s="3"/>
      <c r="K31" s="4"/>
    </row>
    <row r="32" spans="1:13" ht="22.8" customHeight="1" x14ac:dyDescent="0.3">
      <c r="A32" s="10"/>
      <c r="H32" s="3"/>
      <c r="I32" s="3"/>
      <c r="J32" s="3"/>
      <c r="K32" s="4"/>
    </row>
    <row r="33" spans="1:11" ht="22.8" customHeight="1" x14ac:dyDescent="0.3">
      <c r="A33" s="10"/>
      <c r="H33" s="3"/>
      <c r="I33" s="3"/>
      <c r="J33" s="3"/>
      <c r="K33" s="4"/>
    </row>
    <row r="34" spans="1:11" ht="22.8" customHeight="1" x14ac:dyDescent="0.3">
      <c r="A34" s="10"/>
      <c r="H34" s="3"/>
      <c r="I34" s="3"/>
      <c r="J34" s="3"/>
      <c r="K34" s="4"/>
    </row>
    <row r="35" spans="1:11" x14ac:dyDescent="0.3">
      <c r="A35" s="5"/>
      <c r="H35" s="3"/>
      <c r="I35" s="3"/>
      <c r="J35" s="3"/>
    </row>
    <row r="36" spans="1:11" x14ac:dyDescent="0.3">
      <c r="H36" s="3"/>
      <c r="I36" s="3"/>
      <c r="J36" s="3"/>
    </row>
    <row r="37" spans="1:11" x14ac:dyDescent="0.3">
      <c r="H37" s="3"/>
      <c r="I37" s="3"/>
      <c r="J37" s="3"/>
    </row>
    <row r="38" spans="1:11" x14ac:dyDescent="0.3">
      <c r="H38" s="3"/>
      <c r="I38" s="3"/>
      <c r="J38" s="3"/>
    </row>
    <row r="39" spans="1:11" x14ac:dyDescent="0.3">
      <c r="H39" s="3"/>
      <c r="I39" s="3"/>
      <c r="J39" s="3"/>
      <c r="K39" s="4"/>
    </row>
    <row r="41" spans="1:11" x14ac:dyDescent="0.3">
      <c r="J41" s="4"/>
      <c r="K41" s="3"/>
    </row>
  </sheetData>
  <mergeCells count="26">
    <mergeCell ref="J5:J6"/>
    <mergeCell ref="J7:J9"/>
    <mergeCell ref="J10:J11"/>
    <mergeCell ref="J12:J14"/>
    <mergeCell ref="J15:J16"/>
    <mergeCell ref="H5:H6"/>
    <mergeCell ref="H7:H9"/>
    <mergeCell ref="H10:H11"/>
    <mergeCell ref="H12:H14"/>
    <mergeCell ref="H15:H16"/>
    <mergeCell ref="C5:C6"/>
    <mergeCell ref="C7:C9"/>
    <mergeCell ref="C10:C11"/>
    <mergeCell ref="C12:C14"/>
    <mergeCell ref="C15:C16"/>
    <mergeCell ref="B15:B16"/>
    <mergeCell ref="A7:A9"/>
    <mergeCell ref="A10:A11"/>
    <mergeCell ref="A12:A14"/>
    <mergeCell ref="A15:A16"/>
    <mergeCell ref="B7:B9"/>
    <mergeCell ref="B10:B11"/>
    <mergeCell ref="B12:B14"/>
    <mergeCell ref="A2:B2"/>
    <mergeCell ref="A5:A6"/>
    <mergeCell ref="B5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3"/>
  <sheetViews>
    <sheetView tabSelected="1" workbookViewId="0">
      <selection activeCell="G13" sqref="G13"/>
    </sheetView>
  </sheetViews>
  <sheetFormatPr baseColWidth="10" defaultColWidth="8.88671875" defaultRowHeight="14.4" x14ac:dyDescent="0.3"/>
  <cols>
    <col min="2" max="2" width="13.33203125" customWidth="1"/>
    <col min="3" max="3" width="24.33203125" bestFit="1" customWidth="1"/>
    <col min="4" max="4" width="16.21875" bestFit="1" customWidth="1"/>
    <col min="5" max="5" width="15.44140625" bestFit="1" customWidth="1"/>
    <col min="6" max="6" width="18.88671875" bestFit="1" customWidth="1"/>
  </cols>
  <sheetData>
    <row r="1" spans="2:6" x14ac:dyDescent="0.3">
      <c r="B1" t="s">
        <v>15</v>
      </c>
      <c r="C1" s="2">
        <v>1.17E-2</v>
      </c>
      <c r="E1" t="s">
        <v>16</v>
      </c>
    </row>
    <row r="2" spans="2:6" x14ac:dyDescent="0.3">
      <c r="B2" t="s">
        <v>13</v>
      </c>
    </row>
    <row r="3" spans="2:6" x14ac:dyDescent="0.3">
      <c r="B3" t="s">
        <v>14</v>
      </c>
    </row>
    <row r="5" spans="2:6" x14ac:dyDescent="0.3">
      <c r="B5" s="1" t="s">
        <v>10</v>
      </c>
      <c r="C5" s="1" t="s">
        <v>11</v>
      </c>
      <c r="D5" s="1" t="s">
        <v>17</v>
      </c>
      <c r="E5" s="1" t="s">
        <v>12</v>
      </c>
      <c r="F5" s="1" t="s">
        <v>18</v>
      </c>
    </row>
    <row r="7" spans="2:6" x14ac:dyDescent="0.3">
      <c r="B7">
        <v>1</v>
      </c>
      <c r="C7" s="11" t="s">
        <v>21</v>
      </c>
      <c r="D7" s="66">
        <v>1953</v>
      </c>
      <c r="E7" s="6">
        <f>1/(1+$C$1)^(B7-1)</f>
        <v>1</v>
      </c>
      <c r="F7" s="3">
        <f>D7*E7</f>
        <v>1953</v>
      </c>
    </row>
    <row r="8" spans="2:6" ht="28.8" x14ac:dyDescent="0.3">
      <c r="B8">
        <v>2</v>
      </c>
      <c r="C8" s="12" t="s">
        <v>22</v>
      </c>
      <c r="D8" s="66">
        <v>2205.96</v>
      </c>
      <c r="E8" s="6">
        <f t="shared" ref="E8:E11" si="0">1/(1+$C$1)^(B8-1)</f>
        <v>0.9884353069091627</v>
      </c>
      <c r="F8" s="3">
        <f t="shared" ref="F8:F11" si="1">D8*E8</f>
        <v>2180.4487496293368</v>
      </c>
    </row>
    <row r="9" spans="2:6" ht="43.2" x14ac:dyDescent="0.3">
      <c r="B9">
        <v>3</v>
      </c>
      <c r="C9" s="12" t="s">
        <v>23</v>
      </c>
      <c r="D9" s="66">
        <v>2676.47</v>
      </c>
      <c r="E9" s="6">
        <f t="shared" si="0"/>
        <v>0.97700435594461066</v>
      </c>
      <c r="F9" s="3">
        <f t="shared" si="1"/>
        <v>2614.9228485550721</v>
      </c>
    </row>
    <row r="10" spans="2:6" ht="28.8" x14ac:dyDescent="0.3">
      <c r="B10">
        <v>4</v>
      </c>
      <c r="C10" s="12" t="s">
        <v>24</v>
      </c>
      <c r="D10" s="66">
        <v>946.83</v>
      </c>
      <c r="E10" s="6">
        <f t="shared" si="0"/>
        <v>0.96570560041970033</v>
      </c>
      <c r="F10" s="3">
        <f t="shared" si="1"/>
        <v>914.3590336453849</v>
      </c>
    </row>
    <row r="11" spans="2:6" x14ac:dyDescent="0.3">
      <c r="B11">
        <v>5</v>
      </c>
      <c r="C11" s="12" t="s">
        <v>25</v>
      </c>
      <c r="D11" s="66">
        <v>686.52</v>
      </c>
      <c r="E11" s="3">
        <f t="shared" si="0"/>
        <v>0.95453751153474364</v>
      </c>
      <c r="F11" s="3">
        <f t="shared" si="1"/>
        <v>655.30909241883217</v>
      </c>
    </row>
    <row r="12" spans="2:6" x14ac:dyDescent="0.3">
      <c r="C12" s="10"/>
      <c r="D12" s="3"/>
      <c r="E12" s="3"/>
      <c r="F12" s="3"/>
    </row>
    <row r="13" spans="2:6" x14ac:dyDescent="0.3">
      <c r="C13" s="7" t="s">
        <v>19</v>
      </c>
      <c r="D13" s="8"/>
      <c r="E13" s="8"/>
      <c r="F13" s="8">
        <f>SUM(F7:F11)</f>
        <v>8318.039724248627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518A-7AAA-475F-B3C5-46F01F444150}">
  <dimension ref="A2:F15"/>
  <sheetViews>
    <sheetView topLeftCell="A3" workbookViewId="0">
      <selection activeCell="H11" sqref="H11"/>
    </sheetView>
  </sheetViews>
  <sheetFormatPr baseColWidth="10" defaultRowHeight="14.4" x14ac:dyDescent="0.3"/>
  <cols>
    <col min="1" max="1" width="19.33203125" customWidth="1"/>
    <col min="2" max="2" width="18.5546875" customWidth="1"/>
    <col min="3" max="3" width="14.77734375" customWidth="1"/>
    <col min="4" max="4" width="16.21875" customWidth="1"/>
    <col min="5" max="5" width="15.109375" customWidth="1"/>
    <col min="6" max="6" width="17.21875" customWidth="1"/>
  </cols>
  <sheetData>
    <row r="2" spans="1:6" ht="15" thickBot="1" x14ac:dyDescent="0.35"/>
    <row r="3" spans="1:6" ht="18" thickBot="1" x14ac:dyDescent="0.35">
      <c r="A3" s="37" t="s">
        <v>48</v>
      </c>
      <c r="B3" s="38"/>
      <c r="C3" s="39"/>
    </row>
    <row r="5" spans="1:6" ht="15" thickBot="1" x14ac:dyDescent="0.35"/>
    <row r="6" spans="1:6" ht="26.4" customHeight="1" x14ac:dyDescent="0.3">
      <c r="A6" s="35" t="s">
        <v>26</v>
      </c>
      <c r="B6" s="35" t="s">
        <v>57</v>
      </c>
      <c r="C6" s="35" t="s">
        <v>58</v>
      </c>
      <c r="D6" s="35" t="s">
        <v>59</v>
      </c>
      <c r="E6" s="35" t="s">
        <v>60</v>
      </c>
      <c r="F6" s="35" t="s">
        <v>27</v>
      </c>
    </row>
    <row r="7" spans="1:6" ht="19.8" customHeight="1" x14ac:dyDescent="0.3">
      <c r="A7" s="36"/>
      <c r="B7" s="36"/>
      <c r="C7" s="36"/>
      <c r="D7" s="36"/>
      <c r="E7" s="36"/>
      <c r="F7" s="36"/>
    </row>
    <row r="8" spans="1:6" ht="27" thickBot="1" x14ac:dyDescent="0.35">
      <c r="A8" s="16" t="s">
        <v>46</v>
      </c>
      <c r="B8" s="17" t="s">
        <v>49</v>
      </c>
      <c r="C8" s="17" t="s">
        <v>47</v>
      </c>
      <c r="D8" s="18">
        <v>16167</v>
      </c>
      <c r="E8" s="18">
        <v>3150000</v>
      </c>
      <c r="F8" s="17" t="s">
        <v>50</v>
      </c>
    </row>
    <row r="9" spans="1:6" ht="40.200000000000003" thickBot="1" x14ac:dyDescent="0.35">
      <c r="A9" s="19" t="s">
        <v>28</v>
      </c>
      <c r="B9" s="20">
        <v>11077</v>
      </c>
      <c r="C9" s="21" t="s">
        <v>29</v>
      </c>
      <c r="D9" s="22">
        <v>11077</v>
      </c>
      <c r="E9" s="22">
        <v>2604881</v>
      </c>
      <c r="F9" s="21" t="s">
        <v>51</v>
      </c>
    </row>
    <row r="10" spans="1:6" ht="40.200000000000003" thickBot="1" x14ac:dyDescent="0.35">
      <c r="A10" s="23" t="s">
        <v>30</v>
      </c>
      <c r="B10" s="24">
        <v>8745</v>
      </c>
      <c r="C10" s="25" t="s">
        <v>31</v>
      </c>
      <c r="D10" s="26">
        <v>8745</v>
      </c>
      <c r="E10" s="26">
        <v>1773422</v>
      </c>
      <c r="F10" s="25" t="s">
        <v>52</v>
      </c>
    </row>
    <row r="11" spans="1:6" ht="27" thickBot="1" x14ac:dyDescent="0.35">
      <c r="A11" s="19" t="s">
        <v>32</v>
      </c>
      <c r="B11" s="21" t="s">
        <v>33</v>
      </c>
      <c r="C11" s="21" t="s">
        <v>34</v>
      </c>
      <c r="D11" s="22">
        <v>8616</v>
      </c>
      <c r="E11" s="22">
        <v>1362450</v>
      </c>
      <c r="F11" s="21" t="s">
        <v>53</v>
      </c>
    </row>
    <row r="12" spans="1:6" ht="27" thickBot="1" x14ac:dyDescent="0.35">
      <c r="A12" s="27" t="s">
        <v>38</v>
      </c>
      <c r="B12" s="28">
        <v>7231</v>
      </c>
      <c r="C12" s="29" t="s">
        <v>39</v>
      </c>
      <c r="D12" s="30">
        <v>7231</v>
      </c>
      <c r="E12" s="30">
        <v>1318780</v>
      </c>
      <c r="F12" s="29" t="s">
        <v>54</v>
      </c>
    </row>
    <row r="13" spans="1:6" ht="27" thickBot="1" x14ac:dyDescent="0.35">
      <c r="A13" s="19" t="s">
        <v>35</v>
      </c>
      <c r="B13" s="21" t="s">
        <v>36</v>
      </c>
      <c r="C13" s="21" t="s">
        <v>37</v>
      </c>
      <c r="D13" s="22">
        <v>7156</v>
      </c>
      <c r="E13" s="22">
        <v>1109259</v>
      </c>
      <c r="F13" s="21" t="s">
        <v>55</v>
      </c>
    </row>
    <row r="14" spans="1:6" ht="27" thickBot="1" x14ac:dyDescent="0.35">
      <c r="A14" s="23" t="s">
        <v>40</v>
      </c>
      <c r="B14" s="25" t="s">
        <v>41</v>
      </c>
      <c r="C14" s="25" t="s">
        <v>42</v>
      </c>
      <c r="D14" s="26">
        <v>5615</v>
      </c>
      <c r="E14" s="26">
        <v>1630420</v>
      </c>
      <c r="F14" s="25" t="s">
        <v>53</v>
      </c>
    </row>
    <row r="15" spans="1:6" ht="53.4" thickBot="1" x14ac:dyDescent="0.35">
      <c r="A15" s="31" t="s">
        <v>43</v>
      </c>
      <c r="B15" s="32" t="s">
        <v>44</v>
      </c>
      <c r="C15" s="32" t="s">
        <v>45</v>
      </c>
      <c r="D15" s="33">
        <v>4615</v>
      </c>
      <c r="E15" s="33">
        <v>1462607</v>
      </c>
      <c r="F15" s="32" t="s">
        <v>56</v>
      </c>
    </row>
  </sheetData>
  <mergeCells count="7">
    <mergeCell ref="F6:F7"/>
    <mergeCell ref="A3:C3"/>
    <mergeCell ref="A6:A7"/>
    <mergeCell ref="B6:B7"/>
    <mergeCell ref="C6:C7"/>
    <mergeCell ref="D6:D7"/>
    <mergeCell ref="E6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Tareas</vt:lpstr>
      <vt:lpstr>Flujo Caja</vt:lpstr>
      <vt:lpstr>Salarios del equipo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MIGUEL GIRALDI VENEGAS</cp:lastModifiedBy>
  <dcterms:created xsi:type="dcterms:W3CDTF">2025-05-11T23:50:44Z</dcterms:created>
  <dcterms:modified xsi:type="dcterms:W3CDTF">2025-06-02T03:10:16Z</dcterms:modified>
</cp:coreProperties>
</file>